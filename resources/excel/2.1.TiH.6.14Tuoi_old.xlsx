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11359DB5-7C4D-49C1-85F1-29AD3EFD64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trẻ 6 đến 14 tuổi" sheetId="3" r:id="rId1"/>
  </sheets>
  <definedNames>
    <definedName name="_xlnm.Print_Area" localSheetId="0">'Thống kê trẻ 6 đến 14 tuổi'!$A$1:$P$50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" i="3" l="1"/>
  <c r="Z17" i="3"/>
  <c r="Y17" i="3"/>
  <c r="X17" i="3"/>
  <c r="W17" i="3"/>
  <c r="V17" i="3"/>
  <c r="U17" i="3"/>
  <c r="T17" i="3"/>
  <c r="S17" i="3"/>
  <c r="AA16" i="3"/>
  <c r="Z16" i="3"/>
  <c r="Y16" i="3"/>
  <c r="X16" i="3"/>
  <c r="W16" i="3"/>
  <c r="V16" i="3"/>
  <c r="U16" i="3"/>
  <c r="T16" i="3"/>
  <c r="S16" i="3"/>
  <c r="AA15" i="3"/>
  <c r="Z15" i="3"/>
  <c r="Y15" i="3"/>
  <c r="X15" i="3"/>
  <c r="W15" i="3"/>
  <c r="V15" i="3"/>
  <c r="U15" i="3"/>
  <c r="T15" i="3"/>
  <c r="S15" i="3"/>
  <c r="AA14" i="3"/>
  <c r="Z14" i="3"/>
  <c r="Y14" i="3"/>
  <c r="X14" i="3"/>
  <c r="W14" i="3"/>
  <c r="V14" i="3"/>
  <c r="U14" i="3"/>
  <c r="T14" i="3"/>
  <c r="S14" i="3"/>
  <c r="V18" i="3" l="1"/>
  <c r="AA18" i="3"/>
  <c r="W18" i="3"/>
  <c r="X18" i="3"/>
  <c r="Y18" i="3"/>
  <c r="Z18" i="3"/>
  <c r="S18" i="3"/>
  <c r="T18" i="3"/>
  <c r="U18" i="3"/>
</calcChain>
</file>

<file path=xl/sharedStrings.xml><?xml version="1.0" encoding="utf-8"?>
<sst xmlns="http://schemas.openxmlformats.org/spreadsheetml/2006/main" count="80" uniqueCount="51">
  <si>
    <t>THỐNG KÊ TRẺ EM 6 ĐẾN 14 TUỔI PHỔ CẬP GIÁO DỤC TIỂU HỌC</t>
  </si>
  <si>
    <t>Mẫu: TH-01-TE</t>
  </si>
  <si>
    <t>Tổng
(6-10)</t>
  </si>
  <si>
    <t>Tổng
(11-14)</t>
  </si>
  <si>
    <t>Độ tuổi</t>
  </si>
  <si>
    <t>Tổng số</t>
  </si>
  <si>
    <t>Nữ</t>
  </si>
  <si>
    <t>Dân tộc</t>
  </si>
  <si>
    <t>Khuyết
tật</t>
  </si>
  <si>
    <t>Có khả năng HT</t>
  </si>
  <si>
    <t>Được tiếp cận GD</t>
  </si>
  <si>
    <t>Số phải phổ cập (PPC)</t>
  </si>
  <si>
    <t>Đã và đang học tiểu học</t>
  </si>
  <si>
    <t>Lớp 1</t>
  </si>
  <si>
    <t>Số
PPC</t>
  </si>
  <si>
    <t>Tại chỗ</t>
  </si>
  <si>
    <t>Nơi khác</t>
  </si>
  <si>
    <t>Nơi khác đến</t>
  </si>
  <si>
    <t>Lớp 2</t>
  </si>
  <si>
    <t>Lớp 3</t>
  </si>
  <si>
    <t>Lớp 4</t>
  </si>
  <si>
    <t>Lớp 5</t>
  </si>
  <si>
    <t>Số PPC</t>
  </si>
  <si>
    <t>Số PPC chưa đi học</t>
  </si>
  <si>
    <t>Tiêu chí</t>
  </si>
  <si>
    <t>Số lượng</t>
  </si>
  <si>
    <t>Trẻ 6 tuổi vào lớp 1</t>
  </si>
  <si>
    <t>Trẻ 11 tuổi HTCTTH</t>
  </si>
  <si>
    <t>Trẻ 11 tuổi đang học ở TH</t>
  </si>
  <si>
    <t>(Kí, họ tên và đóng dấu UBND)</t>
  </si>
  <si>
    <t>Trẻ đến 14 tuổi HTCTTH</t>
  </si>
  <si>
    <t>Trẻ KT có khả năng HT được tiếp cận GD</t>
  </si>
  <si>
    <t>Quận/Huyện:</t>
  </si>
  <si>
    <t>Tỉnh/Thành:</t>
  </si>
  <si>
    <t>Tỷ lệ</t>
  </si>
  <si>
    <t>NGƯỜI LẬP BIỂU</t>
  </si>
  <si>
    <t>(Kí, ghi rõ họ tên)</t>
  </si>
  <si>
    <t>HT
CT
TiH</t>
  </si>
  <si>
    <t>Lưu
ban</t>
  </si>
  <si>
    <t xml:space="preserve">Bỏ
học </t>
  </si>
  <si>
    <t>Số không PPC</t>
  </si>
  <si>
    <t>Phường/Xã:</t>
  </si>
  <si>
    <t>Năm sinh</t>
  </si>
  <si>
    <t>Đã, đang học TH</t>
  </si>
  <si>
    <t>Kiểm tra</t>
  </si>
  <si>
    <t>Số PCC chưa đi học</t>
  </si>
  <si>
    <t>Đối tượng PPC</t>
  </si>
  <si>
    <t>TM. BAN CHỈ ĐẠO PCGD-XMC</t>
  </si>
  <si>
    <t>TRƯỞNG BAN</t>
  </si>
  <si>
    <t>Ngày 12 tháng 11 năm 2024</t>
  </si>
  <si>
    <t>Cư Huê,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</si>
</sst>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0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1"/>
      <color indexed="8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b/>
      <sz val="8"/>
      <color rgb="FFFF0000"/>
      <name val="Tahoma"/>
      <family val="2"/>
    </font>
    <font>
      <b/>
      <sz val="8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98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horizontal="center" vertical="center"/>
      <protection locked="0"/>
    </xf>
    <xf numFmtId="3" fontId="2" fillId="0" borderId="2" xfId="0" applyNumberFormat="1" applyFont="1" applyFill="1" applyBorder="1" applyAlignment="1" applyProtection="1">
      <alignment horizontal="center" vertical="center"/>
    </xf>
    <xf numFmtId="44" fontId="2" fillId="0" borderId="0" xfId="0" applyNumberFormat="1" applyFont="1" applyFill="1" applyAlignment="1" applyProtection="1">
      <alignment horizontal="right" vertical="center"/>
    </xf>
    <xf numFmtId="44" fontId="3" fillId="0" borderId="0" xfId="0" applyNumberFormat="1" applyFont="1" applyFill="1" applyAlignment="1" applyProtection="1">
      <alignment vertical="center"/>
    </xf>
    <xf numFmtId="0" fontId="2" fillId="0" borderId="0" xfId="0" applyFont="1" applyFill="1" applyAlignment="1" applyProtection="1">
      <alignment horizontal="right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Protection="1"/>
    <xf numFmtId="44" fontId="2" fillId="0" borderId="3" xfId="0" applyNumberFormat="1" applyFont="1" applyFill="1" applyBorder="1" applyAlignment="1" applyProtection="1">
      <alignment horizontal="left" vertical="center" wrapText="1"/>
    </xf>
    <xf numFmtId="0" fontId="1" fillId="0" borderId="3" xfId="0" applyFont="1" applyFill="1" applyBorder="1" applyAlignment="1" applyProtection="1">
      <alignment horizontal="center" vertical="center"/>
    </xf>
    <xf numFmtId="44" fontId="2" fillId="0" borderId="0" xfId="0" applyNumberFormat="1" applyFont="1" applyFill="1" applyAlignment="1" applyProtection="1">
      <alignment vertical="center"/>
    </xf>
    <xf numFmtId="1" fontId="2" fillId="0" borderId="4" xfId="0" applyNumberFormat="1" applyFont="1" applyFill="1" applyBorder="1" applyAlignment="1" applyProtection="1">
      <alignment horizontal="center" vertical="center"/>
    </xf>
    <xf numFmtId="44" fontId="2" fillId="0" borderId="5" xfId="0" applyNumberFormat="1" applyFont="1" applyFill="1" applyBorder="1" applyAlignment="1" applyProtection="1">
      <alignment vertical="center" wrapText="1"/>
    </xf>
    <xf numFmtId="44" fontId="2" fillId="0" borderId="4" xfId="0" applyNumberFormat="1" applyFont="1" applyFill="1" applyBorder="1" applyAlignment="1" applyProtection="1">
      <alignment vertical="center"/>
    </xf>
    <xf numFmtId="1" fontId="2" fillId="0" borderId="6" xfId="0" applyNumberFormat="1" applyFont="1" applyFill="1" applyBorder="1" applyAlignment="1" applyProtection="1">
      <alignment horizontal="center" vertical="center"/>
    </xf>
    <xf numFmtId="44" fontId="3" fillId="0" borderId="0" xfId="0" applyNumberFormat="1" applyFont="1" applyFill="1" applyAlignment="1" applyProtection="1">
      <alignment horizontal="center" vertical="center"/>
    </xf>
    <xf numFmtId="44" fontId="1" fillId="0" borderId="0" xfId="0" applyNumberFormat="1" applyFont="1" applyFill="1" applyAlignment="1" applyProtection="1">
      <alignment horizontal="center" vertical="center"/>
    </xf>
    <xf numFmtId="1" fontId="2" fillId="0" borderId="0" xfId="0" applyNumberFormat="1" applyFont="1" applyFill="1" applyProtection="1"/>
    <xf numFmtId="0" fontId="1" fillId="0" borderId="0" xfId="0" applyFont="1" applyFill="1" applyProtection="1"/>
    <xf numFmtId="1" fontId="1" fillId="0" borderId="0" xfId="0" applyNumberFormat="1" applyFont="1" applyFill="1" applyProtection="1"/>
    <xf numFmtId="0" fontId="2" fillId="0" borderId="0" xfId="0" applyFont="1" applyFill="1" applyAlignment="1" applyProtection="1">
      <alignment horizontal="left" vertical="center"/>
    </xf>
    <xf numFmtId="1" fontId="2" fillId="0" borderId="0" xfId="0" applyNumberFormat="1" applyFont="1" applyFill="1" applyAlignment="1" applyProtection="1">
      <alignment vertical="center"/>
    </xf>
    <xf numFmtId="44" fontId="1" fillId="0" borderId="0" xfId="0" applyNumberFormat="1" applyFont="1" applyFill="1" applyAlignment="1" applyProtection="1">
      <alignment horizontal="center" vertical="center" wrapText="1"/>
    </xf>
    <xf numFmtId="1" fontId="2" fillId="0" borderId="0" xfId="0" applyNumberFormat="1" applyFont="1" applyFill="1" applyAlignment="1" applyProtection="1">
      <alignment horizontal="center" vertical="center"/>
    </xf>
    <xf numFmtId="3" fontId="2" fillId="0" borderId="0" xfId="0" applyNumberFormat="1" applyFont="1" applyFill="1" applyAlignment="1" applyProtection="1">
      <alignment horizontal="center" vertical="center"/>
      <protection locked="0"/>
    </xf>
    <xf numFmtId="3" fontId="1" fillId="0" borderId="0" xfId="0" applyNumberFormat="1" applyFont="1" applyFill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left" vertical="center"/>
    </xf>
    <xf numFmtId="0" fontId="1" fillId="0" borderId="0" xfId="0" applyFont="1" applyFill="1" applyAlignment="1" applyProtection="1">
      <alignment horizontal="center" vertical="center"/>
    </xf>
    <xf numFmtId="44" fontId="1" fillId="0" borderId="2" xfId="0" applyNumberFormat="1" applyFont="1" applyFill="1" applyBorder="1" applyAlignment="1" applyProtection="1">
      <alignment vertical="center"/>
    </xf>
    <xf numFmtId="1" fontId="2" fillId="0" borderId="8" xfId="0" applyNumberFormat="1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4" fontId="2" fillId="0" borderId="2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Protection="1"/>
    <xf numFmtId="1" fontId="2" fillId="0" borderId="2" xfId="0" applyNumberFormat="1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vertical="center"/>
    </xf>
    <xf numFmtId="0" fontId="2" fillId="0" borderId="2" xfId="0" applyFont="1" applyFill="1" applyBorder="1" applyAlignment="1" applyProtection="1">
      <alignment vertical="center"/>
    </xf>
    <xf numFmtId="37" fontId="2" fillId="0" borderId="2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Protection="1"/>
    <xf numFmtId="44" fontId="1" fillId="0" borderId="0" xfId="0" applyNumberFormat="1" applyFont="1" applyFill="1" applyAlignment="1" applyProtection="1">
      <alignment vertical="center"/>
    </xf>
    <xf numFmtId="44" fontId="7" fillId="0" borderId="0" xfId="0" applyNumberFormat="1" applyFont="1" applyFill="1" applyAlignment="1" applyProtection="1">
      <alignment horizontal="left" vertical="center"/>
    </xf>
    <xf numFmtId="0" fontId="8" fillId="0" borderId="0" xfId="0" applyFont="1" applyFill="1" applyProtection="1"/>
    <xf numFmtId="0" fontId="2" fillId="0" borderId="0" xfId="0" quotePrefix="1" applyFont="1" applyFill="1" applyProtection="1"/>
    <xf numFmtId="0" fontId="2" fillId="0" borderId="0" xfId="0" quotePrefix="1" applyFont="1" applyFill="1" applyAlignment="1" applyProtection="1">
      <alignment vertical="center"/>
    </xf>
    <xf numFmtId="44" fontId="5" fillId="0" borderId="3" xfId="0" applyNumberFormat="1" applyFont="1" applyFill="1" applyBorder="1" applyAlignment="1" applyProtection="1">
      <alignment horizontal="left" vertical="center" wrapText="1"/>
    </xf>
    <xf numFmtId="44" fontId="6" fillId="0" borderId="0" xfId="0" quotePrefix="1" applyNumberFormat="1" applyFont="1" applyFill="1" applyAlignment="1" applyProtection="1">
      <alignment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3" fontId="2" fillId="0" borderId="2" xfId="0" quotePrefix="1" applyNumberFormat="1" applyFont="1" applyFill="1" applyBorder="1" applyAlignment="1" applyProtection="1">
      <alignment horizontal="center" vertical="center"/>
    </xf>
    <xf numFmtId="0" fontId="2" fillId="0" borderId="2" xfId="0" quotePrefix="1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horizontal="center" vertical="center" wrapText="1"/>
    </xf>
    <xf numFmtId="3" fontId="2" fillId="0" borderId="8" xfId="0" applyNumberFormat="1" applyFont="1" applyFill="1" applyBorder="1" applyAlignment="1" applyProtection="1">
      <alignment horizontal="center" vertical="center"/>
      <protection locked="0"/>
    </xf>
    <xf numFmtId="3" fontId="2" fillId="0" borderId="8" xfId="0" applyNumberFormat="1" applyFont="1" applyFill="1" applyBorder="1" applyAlignment="1" applyProtection="1">
      <alignment horizontal="center" vertical="center"/>
    </xf>
    <xf numFmtId="44" fontId="1" fillId="0" borderId="2" xfId="0" applyNumberFormat="1" applyFont="1" applyFill="1" applyBorder="1" applyAlignment="1" applyProtection="1">
      <alignment horizontal="center" vertical="center" wrapText="1"/>
    </xf>
    <xf numFmtId="44" fontId="5" fillId="0" borderId="8" xfId="0" applyNumberFormat="1" applyFont="1" applyFill="1" applyBorder="1" applyAlignment="1" applyProtection="1">
      <alignment vertical="center" wrapText="1"/>
    </xf>
    <xf numFmtId="44" fontId="5" fillId="0" borderId="21" xfId="0" applyNumberFormat="1" applyFont="1" applyFill="1" applyBorder="1" applyAlignment="1" applyProtection="1">
      <alignment vertical="center" wrapText="1"/>
    </xf>
    <xf numFmtId="44" fontId="5" fillId="0" borderId="22" xfId="0" applyNumberFormat="1" applyFont="1" applyFill="1" applyBorder="1" applyAlignment="1" applyProtection="1">
      <alignment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3" xfId="0" applyFont="1" applyFill="1" applyBorder="1" applyAlignment="1" applyProtection="1">
      <alignment horizontal="center" vertical="center" wrapText="1"/>
    </xf>
    <xf numFmtId="44" fontId="2" fillId="0" borderId="6" xfId="0" applyNumberFormat="1" applyFont="1" applyFill="1" applyBorder="1" applyAlignment="1" applyProtection="1">
      <alignment horizontal="center" vertical="center" wrapText="1"/>
    </xf>
    <xf numFmtId="44" fontId="2" fillId="0" borderId="13" xfId="0" applyNumberFormat="1" applyFont="1" applyFill="1" applyBorder="1" applyAlignment="1" applyProtection="1">
      <alignment horizontal="center" vertical="center" wrapText="1"/>
    </xf>
    <xf numFmtId="44" fontId="2" fillId="0" borderId="14" xfId="0" applyNumberFormat="1" applyFont="1" applyFill="1" applyBorder="1" applyAlignment="1" applyProtection="1">
      <alignment horizontal="center" vertical="center" wrapText="1"/>
    </xf>
    <xf numFmtId="44" fontId="2" fillId="0" borderId="15" xfId="0" applyNumberFormat="1" applyFont="1" applyFill="1" applyBorder="1" applyAlignment="1" applyProtection="1">
      <alignment horizontal="center" vertical="center" wrapText="1"/>
    </xf>
    <xf numFmtId="44" fontId="2" fillId="0" borderId="5" xfId="0" applyNumberFormat="1" applyFont="1" applyFill="1" applyBorder="1" applyAlignment="1" applyProtection="1">
      <alignment horizontal="center" vertical="center" wrapText="1"/>
    </xf>
    <xf numFmtId="44" fontId="2" fillId="0" borderId="16" xfId="0" applyNumberFormat="1" applyFont="1" applyFill="1" applyBorder="1" applyAlignment="1" applyProtection="1">
      <alignment horizontal="center" vertical="center" wrapText="1"/>
    </xf>
    <xf numFmtId="44" fontId="2" fillId="0" borderId="1" xfId="0" applyNumberFormat="1" applyFont="1" applyFill="1" applyBorder="1" applyAlignment="1" applyProtection="1">
      <alignment horizontal="center" vertical="center" wrapText="1"/>
    </xf>
    <xf numFmtId="44" fontId="2" fillId="0" borderId="12" xfId="0" applyNumberFormat="1" applyFont="1" applyFill="1" applyBorder="1" applyAlignment="1" applyProtection="1">
      <alignment horizontal="center" vertical="center" wrapText="1"/>
    </xf>
    <xf numFmtId="44" fontId="5" fillId="0" borderId="4" xfId="0" applyNumberFormat="1" applyFont="1" applyFill="1" applyBorder="1" applyAlignment="1" applyProtection="1">
      <alignment vertical="center" wrapText="1"/>
    </xf>
    <xf numFmtId="44" fontId="5" fillId="0" borderId="9" xfId="0" applyNumberFormat="1" applyFont="1" applyFill="1" applyBorder="1" applyAlignment="1" applyProtection="1">
      <alignment vertical="center" wrapText="1"/>
    </xf>
    <xf numFmtId="44" fontId="2" fillId="0" borderId="11" xfId="0" applyNumberFormat="1" applyFont="1" applyFill="1" applyBorder="1" applyAlignment="1" applyProtection="1">
      <alignment horizontal="center" vertical="center" textRotation="90" wrapText="1"/>
    </xf>
    <xf numFmtId="44" fontId="2" fillId="0" borderId="12" xfId="0" applyNumberFormat="1" applyFont="1" applyFill="1" applyBorder="1" applyAlignment="1" applyProtection="1">
      <alignment horizontal="center" vertical="center" textRotation="90" wrapText="1"/>
    </xf>
    <xf numFmtId="44" fontId="2" fillId="0" borderId="11" xfId="0" applyNumberFormat="1" applyFont="1" applyFill="1" applyBorder="1" applyAlignment="1" applyProtection="1">
      <alignment horizontal="center" vertical="center" wrapText="1"/>
    </xf>
    <xf numFmtId="44" fontId="2" fillId="0" borderId="4" xfId="0" applyNumberFormat="1" applyFont="1" applyFill="1" applyBorder="1" applyAlignment="1" applyProtection="1">
      <alignment vertical="center" wrapText="1"/>
    </xf>
    <xf numFmtId="44" fontId="2" fillId="0" borderId="9" xfId="0" applyNumberFormat="1" applyFont="1" applyFill="1" applyBorder="1" applyAlignment="1" applyProtection="1">
      <alignment vertical="center" wrapText="1"/>
    </xf>
    <xf numFmtId="44" fontId="5" fillId="0" borderId="1" xfId="0" applyNumberFormat="1" applyFont="1" applyFill="1" applyBorder="1" applyAlignment="1" applyProtection="1">
      <alignment horizontal="center" vertical="center" wrapText="1"/>
    </xf>
    <xf numFmtId="44" fontId="5" fillId="0" borderId="11" xfId="0" applyNumberFormat="1" applyFont="1" applyFill="1" applyBorder="1" applyAlignment="1" applyProtection="1">
      <alignment horizontal="center" vertical="center" wrapText="1"/>
    </xf>
    <xf numFmtId="44" fontId="5" fillId="0" borderId="12" xfId="0" applyNumberFormat="1" applyFont="1" applyFill="1" applyBorder="1" applyAlignment="1" applyProtection="1">
      <alignment horizontal="center" vertical="center" wrapText="1"/>
    </xf>
    <xf numFmtId="44" fontId="2" fillId="0" borderId="24" xfId="0" applyNumberFormat="1" applyFont="1" applyFill="1" applyBorder="1" applyAlignment="1" applyProtection="1">
      <alignment vertical="center" wrapText="1"/>
    </xf>
    <xf numFmtId="0" fontId="4" fillId="0" borderId="0" xfId="0" applyFont="1" applyFill="1" applyAlignment="1" applyProtection="1">
      <alignment horizontal="center" vertical="center"/>
    </xf>
    <xf numFmtId="0" fontId="9" fillId="2" borderId="25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44" fontId="2" fillId="0" borderId="4" xfId="0" applyNumberFormat="1" applyFont="1" applyFill="1" applyBorder="1" applyAlignment="1" applyProtection="1">
      <alignment vertical="center"/>
    </xf>
    <xf numFmtId="44" fontId="2" fillId="0" borderId="9" xfId="0" applyNumberFormat="1" applyFont="1" applyFill="1" applyBorder="1" applyAlignment="1" applyProtection="1">
      <alignment vertical="center"/>
    </xf>
    <xf numFmtId="44" fontId="5" fillId="0" borderId="4" xfId="0" applyNumberFormat="1" applyFont="1" applyFill="1" applyBorder="1" applyAlignment="1" applyProtection="1">
      <alignment vertical="center"/>
    </xf>
    <xf numFmtId="44" fontId="5" fillId="0" borderId="9" xfId="0" applyNumberFormat="1" applyFont="1" applyFill="1" applyBorder="1" applyAlignment="1" applyProtection="1">
      <alignment vertical="center"/>
    </xf>
    <xf numFmtId="44" fontId="2" fillId="0" borderId="2" xfId="0" applyNumberFormat="1" applyFont="1" applyFill="1" applyBorder="1" applyAlignment="1" applyProtection="1">
      <alignment horizontal="left" vertical="center" wrapText="1"/>
    </xf>
    <xf numFmtId="44" fontId="2" fillId="0" borderId="2" xfId="0" applyNumberFormat="1" applyFont="1" applyFill="1" applyBorder="1" applyAlignment="1" applyProtection="1">
      <alignment horizontal="left" vertical="center"/>
    </xf>
    <xf numFmtId="44" fontId="1" fillId="0" borderId="2" xfId="0" applyNumberFormat="1" applyFont="1" applyFill="1" applyBorder="1" applyAlignment="1" applyProtection="1">
      <alignment horizontal="left" vertical="center"/>
    </xf>
    <xf numFmtId="44" fontId="5" fillId="0" borderId="19" xfId="0" applyNumberFormat="1" applyFont="1" applyFill="1" applyBorder="1" applyAlignment="1" applyProtection="1">
      <alignment horizontal="left" vertical="center" wrapText="1"/>
    </xf>
    <xf numFmtId="44" fontId="5" fillId="0" borderId="20" xfId="0" applyNumberFormat="1" applyFont="1" applyFill="1" applyBorder="1" applyAlignment="1" applyProtection="1">
      <alignment horizontal="left" vertical="center" wrapText="1"/>
    </xf>
    <xf numFmtId="44" fontId="2" fillId="0" borderId="24" xfId="0" applyNumberFormat="1" applyFont="1" applyFill="1" applyBorder="1" applyAlignment="1" applyProtection="1">
      <alignment vertical="center"/>
    </xf>
    <xf numFmtId="44" fontId="5" fillId="0" borderId="24" xfId="0" applyNumberFormat="1" applyFont="1" applyFill="1" applyBorder="1" applyAlignment="1" applyProtection="1">
      <alignment vertical="center" wrapText="1"/>
    </xf>
    <xf numFmtId="44" fontId="2" fillId="0" borderId="17" xfId="0" applyNumberFormat="1" applyFont="1" applyFill="1" applyBorder="1" applyAlignment="1" applyProtection="1">
      <alignment horizontal="center" vertical="center" wrapText="1"/>
    </xf>
    <xf numFmtId="44" fontId="2" fillId="0" borderId="1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8"/>
      </font>
    </dxf>
    <dxf>
      <font>
        <b/>
        <i val="0"/>
        <color rgb="FFFF0000"/>
      </font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59"/>
  <sheetViews>
    <sheetView tabSelected="1" zoomScaleNormal="100" zoomScaleSheetLayoutView="100" workbookViewId="0">
      <selection activeCell="D2" sqref="D2:F2"/>
    </sheetView>
  </sheetViews>
  <sheetFormatPr defaultColWidth="11.44140625" defaultRowHeight="14.55" customHeight="1" x14ac:dyDescent="0.2"/>
  <cols>
    <col min="1" max="2" width="3.77734375" style="21" customWidth="1"/>
    <col min="3" max="3" width="9" style="21" customWidth="1"/>
    <col min="4" max="4" width="11.77734375" style="21" customWidth="1"/>
    <col min="5" max="5" width="2.77734375" style="22" customWidth="1"/>
    <col min="6" max="6" width="6.77734375" style="22" customWidth="1"/>
    <col min="7" max="15" width="6.77734375" style="6" customWidth="1"/>
    <col min="16" max="16" width="9.21875" style="6" customWidth="1"/>
    <col min="17" max="17" width="5.77734375" style="7" customWidth="1"/>
    <col min="18" max="18" width="14.44140625" style="7" customWidth="1"/>
    <col min="19" max="24" width="8" style="7" customWidth="1"/>
    <col min="25" max="29" width="8" style="8" customWidth="1"/>
    <col min="30" max="16384" width="11.44140625" style="8"/>
  </cols>
  <sheetData>
    <row r="1" spans="1:27" ht="14.55" customHeight="1" x14ac:dyDescent="0.2">
      <c r="P1" s="6" t="s">
        <v>1</v>
      </c>
    </row>
    <row r="2" spans="1:27" ht="15" customHeight="1" x14ac:dyDescent="0.2">
      <c r="A2" s="21" t="s">
        <v>33</v>
      </c>
      <c r="D2" s="84"/>
      <c r="E2" s="84"/>
      <c r="F2" s="84"/>
      <c r="G2" s="81" t="s">
        <v>0</v>
      </c>
      <c r="H2" s="81"/>
      <c r="I2" s="81"/>
      <c r="J2" s="81"/>
      <c r="K2" s="81"/>
      <c r="L2" s="81"/>
      <c r="M2" s="81"/>
      <c r="N2" s="81"/>
      <c r="O2" s="81"/>
      <c r="P2" s="81"/>
      <c r="Q2" s="50"/>
      <c r="R2" s="50"/>
    </row>
    <row r="3" spans="1:27" ht="15" customHeight="1" x14ac:dyDescent="0.2">
      <c r="A3" s="7" t="s">
        <v>32</v>
      </c>
      <c r="B3" s="7"/>
      <c r="C3" s="7"/>
      <c r="D3" s="84"/>
      <c r="E3" s="84"/>
      <c r="F3" s="84"/>
      <c r="G3" s="81"/>
      <c r="H3" s="81"/>
      <c r="I3" s="81"/>
      <c r="J3" s="81"/>
      <c r="K3" s="81"/>
      <c r="L3" s="81"/>
      <c r="M3" s="81"/>
      <c r="N3" s="81"/>
      <c r="O3" s="81"/>
      <c r="P3" s="81"/>
      <c r="Q3" s="50"/>
      <c r="R3" s="50"/>
    </row>
    <row r="4" spans="1:27" ht="15" customHeight="1" x14ac:dyDescent="0.2">
      <c r="A4" s="7" t="s">
        <v>41</v>
      </c>
      <c r="B4" s="7"/>
      <c r="C4" s="7"/>
      <c r="D4" s="84"/>
      <c r="E4" s="84"/>
      <c r="F4" s="84"/>
      <c r="G4" s="82" t="s">
        <v>49</v>
      </c>
      <c r="H4" s="83"/>
      <c r="I4" s="83"/>
      <c r="J4" s="83"/>
      <c r="K4" s="83"/>
      <c r="L4" s="83"/>
      <c r="M4" s="83"/>
      <c r="N4" s="83"/>
      <c r="O4" s="83"/>
      <c r="P4" s="83"/>
    </row>
    <row r="5" spans="1:27" ht="15" customHeight="1" x14ac:dyDescent="0.2">
      <c r="A5" s="7"/>
      <c r="B5" s="7"/>
      <c r="C5" s="7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27" ht="13.5" customHeight="1" x14ac:dyDescent="0.2">
      <c r="A6" s="28"/>
      <c r="B6" s="28"/>
      <c r="C6" s="28"/>
      <c r="D6" s="27"/>
      <c r="E6" s="27"/>
      <c r="F6" s="29"/>
      <c r="G6" s="29"/>
      <c r="H6" s="27"/>
      <c r="I6" s="27"/>
      <c r="J6" s="27"/>
      <c r="K6" s="27"/>
      <c r="L6" s="27"/>
      <c r="M6" s="27"/>
      <c r="N6" s="27"/>
      <c r="O6" s="27"/>
      <c r="P6" s="27"/>
    </row>
    <row r="7" spans="1:27" s="11" customFormat="1" ht="15" customHeight="1" x14ac:dyDescent="0.2">
      <c r="A7" s="75" t="s">
        <v>42</v>
      </c>
      <c r="B7" s="80"/>
      <c r="C7" s="80"/>
      <c r="D7" s="76"/>
      <c r="E7" s="12">
        <v>1</v>
      </c>
      <c r="F7" s="47"/>
      <c r="G7" s="47"/>
      <c r="H7" s="32"/>
      <c r="I7" s="10"/>
      <c r="J7" s="10"/>
      <c r="K7" s="60" t="s">
        <v>2</v>
      </c>
      <c r="L7" s="10"/>
      <c r="M7" s="10"/>
      <c r="N7" s="10"/>
      <c r="O7" s="10"/>
      <c r="P7" s="60" t="s">
        <v>3</v>
      </c>
      <c r="Q7" s="8"/>
    </row>
    <row r="8" spans="1:27" s="11" customFormat="1" ht="15" customHeight="1" x14ac:dyDescent="0.25">
      <c r="A8" s="75" t="s">
        <v>4</v>
      </c>
      <c r="B8" s="80"/>
      <c r="C8" s="80"/>
      <c r="D8" s="76"/>
      <c r="E8" s="12">
        <v>2</v>
      </c>
      <c r="F8" s="47">
        <v>6</v>
      </c>
      <c r="G8" s="48">
        <v>7</v>
      </c>
      <c r="H8" s="1">
        <v>8</v>
      </c>
      <c r="I8" s="1">
        <v>9</v>
      </c>
      <c r="J8" s="1">
        <v>10</v>
      </c>
      <c r="K8" s="61"/>
      <c r="L8" s="1">
        <v>11</v>
      </c>
      <c r="M8" s="1">
        <v>12</v>
      </c>
      <c r="N8" s="1">
        <v>13</v>
      </c>
      <c r="O8" s="1">
        <v>14</v>
      </c>
      <c r="P8" s="61"/>
    </row>
    <row r="9" spans="1:27" s="11" customFormat="1" ht="15" customHeight="1" x14ac:dyDescent="0.2">
      <c r="A9" s="75" t="s">
        <v>5</v>
      </c>
      <c r="B9" s="80"/>
      <c r="C9" s="80"/>
      <c r="D9" s="76"/>
      <c r="E9" s="12">
        <v>3</v>
      </c>
      <c r="F9" s="2"/>
      <c r="G9" s="54"/>
      <c r="H9" s="2"/>
      <c r="I9" s="2"/>
      <c r="J9" s="2"/>
      <c r="K9" s="2"/>
      <c r="L9" s="2"/>
      <c r="M9" s="2"/>
      <c r="N9" s="2"/>
      <c r="O9" s="2"/>
      <c r="P9" s="3"/>
      <c r="Q9" s="19"/>
    </row>
    <row r="10" spans="1:27" s="11" customFormat="1" ht="15" customHeight="1" x14ac:dyDescent="0.2">
      <c r="A10" s="85" t="s">
        <v>6</v>
      </c>
      <c r="B10" s="94"/>
      <c r="C10" s="94"/>
      <c r="D10" s="86"/>
      <c r="E10" s="12">
        <v>4</v>
      </c>
      <c r="F10" s="2"/>
      <c r="G10" s="54"/>
      <c r="H10" s="2"/>
      <c r="I10" s="2"/>
      <c r="J10" s="2"/>
      <c r="K10" s="2"/>
      <c r="L10" s="2"/>
      <c r="M10" s="2"/>
      <c r="N10" s="2"/>
      <c r="O10" s="2"/>
      <c r="P10" s="3"/>
      <c r="Q10" s="19"/>
    </row>
    <row r="11" spans="1:27" s="11" customFormat="1" ht="15" customHeight="1" x14ac:dyDescent="0.2">
      <c r="A11" s="75" t="s">
        <v>7</v>
      </c>
      <c r="B11" s="80"/>
      <c r="C11" s="80"/>
      <c r="D11" s="76"/>
      <c r="E11" s="12">
        <v>5</v>
      </c>
      <c r="F11" s="2"/>
      <c r="G11" s="54"/>
      <c r="H11" s="2"/>
      <c r="I11" s="2"/>
      <c r="J11" s="2"/>
      <c r="K11" s="2"/>
      <c r="L11" s="2"/>
      <c r="M11" s="2"/>
      <c r="N11" s="2"/>
      <c r="O11" s="2"/>
      <c r="P11" s="3"/>
      <c r="Q11" s="39"/>
    </row>
    <row r="12" spans="1:27" s="11" customFormat="1" ht="15" customHeight="1" x14ac:dyDescent="0.2">
      <c r="A12" s="62" t="s">
        <v>8</v>
      </c>
      <c r="B12" s="63"/>
      <c r="C12" s="75" t="s">
        <v>5</v>
      </c>
      <c r="D12" s="76"/>
      <c r="E12" s="12">
        <v>6</v>
      </c>
      <c r="F12" s="2"/>
      <c r="G12" s="54"/>
      <c r="H12" s="2"/>
      <c r="I12" s="2"/>
      <c r="J12" s="2"/>
      <c r="K12" s="2"/>
      <c r="L12" s="2"/>
      <c r="M12" s="2"/>
      <c r="N12" s="2"/>
      <c r="O12" s="2"/>
      <c r="P12" s="3"/>
      <c r="Q12" s="39"/>
    </row>
    <row r="13" spans="1:27" s="11" customFormat="1" ht="15" customHeight="1" x14ac:dyDescent="0.2">
      <c r="A13" s="64"/>
      <c r="B13" s="65"/>
      <c r="C13" s="75" t="s">
        <v>9</v>
      </c>
      <c r="D13" s="76"/>
      <c r="E13" s="12">
        <v>7</v>
      </c>
      <c r="F13" s="2"/>
      <c r="G13" s="54"/>
      <c r="H13" s="2"/>
      <c r="I13" s="2"/>
      <c r="J13" s="2"/>
      <c r="K13" s="2"/>
      <c r="L13" s="2"/>
      <c r="M13" s="2"/>
      <c r="N13" s="2"/>
      <c r="O13" s="2"/>
      <c r="P13" s="3"/>
      <c r="Q13" s="19"/>
    </row>
    <row r="14" spans="1:27" s="11" customFormat="1" ht="15" customHeight="1" x14ac:dyDescent="0.25">
      <c r="A14" s="66"/>
      <c r="B14" s="67"/>
      <c r="C14" s="75" t="s">
        <v>10</v>
      </c>
      <c r="D14" s="76"/>
      <c r="E14" s="12">
        <v>8</v>
      </c>
      <c r="F14" s="2"/>
      <c r="G14" s="54"/>
      <c r="H14" s="2"/>
      <c r="I14" s="2"/>
      <c r="J14" s="2"/>
      <c r="K14" s="2"/>
      <c r="L14" s="2"/>
      <c r="M14" s="2"/>
      <c r="N14" s="2"/>
      <c r="O14" s="2"/>
      <c r="P14" s="3"/>
      <c r="R14" s="36" t="s">
        <v>42</v>
      </c>
      <c r="S14" s="35">
        <f>F7</f>
        <v>0</v>
      </c>
      <c r="T14" s="35">
        <f>G7</f>
        <v>0</v>
      </c>
      <c r="U14" s="35">
        <f>H7</f>
        <v>0</v>
      </c>
      <c r="V14" s="35">
        <f>I7</f>
        <v>0</v>
      </c>
      <c r="W14" s="35">
        <f>J7</f>
        <v>0</v>
      </c>
      <c r="X14" s="35">
        <f>L7</f>
        <v>0</v>
      </c>
      <c r="Y14" s="35">
        <f>M7</f>
        <v>0</v>
      </c>
      <c r="Z14" s="35">
        <f>N7</f>
        <v>0</v>
      </c>
      <c r="AA14" s="35">
        <f>O7</f>
        <v>0</v>
      </c>
    </row>
    <row r="15" spans="1:27" s="11" customFormat="1" ht="15.3" customHeight="1" x14ac:dyDescent="0.25">
      <c r="A15" s="70" t="s">
        <v>11</v>
      </c>
      <c r="B15" s="95"/>
      <c r="C15" s="95"/>
      <c r="D15" s="71"/>
      <c r="E15" s="12">
        <v>9</v>
      </c>
      <c r="F15" s="3"/>
      <c r="G15" s="55"/>
      <c r="H15" s="3"/>
      <c r="I15" s="3"/>
      <c r="J15" s="3"/>
      <c r="K15" s="2"/>
      <c r="L15" s="3"/>
      <c r="M15" s="3"/>
      <c r="N15" s="3"/>
      <c r="O15" s="3"/>
      <c r="P15" s="3"/>
      <c r="R15" s="36" t="s">
        <v>46</v>
      </c>
      <c r="S15" s="3">
        <f>F15</f>
        <v>0</v>
      </c>
      <c r="T15" s="3">
        <f>G15</f>
        <v>0</v>
      </c>
      <c r="U15" s="3">
        <f>H15</f>
        <v>0</v>
      </c>
      <c r="V15" s="3">
        <f>I15</f>
        <v>0</v>
      </c>
      <c r="W15" s="3">
        <f>J15</f>
        <v>0</v>
      </c>
      <c r="X15" s="3">
        <f>L15</f>
        <v>0</v>
      </c>
      <c r="Y15" s="3">
        <f>M15</f>
        <v>0</v>
      </c>
      <c r="Z15" s="3">
        <f>N15</f>
        <v>0</v>
      </c>
      <c r="AA15" s="3">
        <f>O15</f>
        <v>0</v>
      </c>
    </row>
    <row r="16" spans="1:27" s="11" customFormat="1" ht="15" customHeight="1" x14ac:dyDescent="0.25">
      <c r="A16" s="72" t="s">
        <v>12</v>
      </c>
      <c r="B16" s="68" t="s">
        <v>13</v>
      </c>
      <c r="C16" s="68" t="s">
        <v>14</v>
      </c>
      <c r="D16" s="45" t="s">
        <v>15</v>
      </c>
      <c r="E16" s="12">
        <v>10</v>
      </c>
      <c r="F16" s="2"/>
      <c r="G16" s="54"/>
      <c r="H16" s="2"/>
      <c r="I16" s="2"/>
      <c r="J16" s="2"/>
      <c r="K16" s="2"/>
      <c r="L16" s="2"/>
      <c r="M16" s="2"/>
      <c r="N16" s="2"/>
      <c r="O16" s="2"/>
      <c r="P16" s="3"/>
      <c r="R16" s="36" t="s">
        <v>43</v>
      </c>
      <c r="S16" s="3">
        <f>SUM(F16:F17,F19:F20,F22:F23,F25:F26,F28:F29,F31:F32,F38:F39)</f>
        <v>0</v>
      </c>
      <c r="T16" s="3">
        <f>SUM(G16:G17,G19:G20,G22:G23,G25:G26,G28:G29,G31:G32,G38:G39)</f>
        <v>0</v>
      </c>
      <c r="U16" s="3">
        <f>SUM(H16:H17,H19:H20,H22:H23,H25:H26,H28:H29,H31:H32,H38:H39)</f>
        <v>0</v>
      </c>
      <c r="V16" s="3">
        <f>SUM(I16:I17,I19:I20,I22:I23,I25:I26,I28:I29,I31:I32,I38:I39)</f>
        <v>0</v>
      </c>
      <c r="W16" s="3">
        <f>SUM(J16:J17,J19:J20,J22:J23,J25:J26,J28:J29,J31:J32,J38:J39)</f>
        <v>0</v>
      </c>
      <c r="X16" s="3">
        <f>SUM(L16:L17,L19:L20,L22:L23,L25:L26,L28:L29,L31:L32,L38:L39)</f>
        <v>0</v>
      </c>
      <c r="Y16" s="3">
        <f>SUM(M16:M17,M19:M20,M22:M23,M25:M26,M28:M29,M31:M32,M38:M39)</f>
        <v>0</v>
      </c>
      <c r="Z16" s="3">
        <f>SUM(N16:N17,N19:N20,N22:N23,N25:N26,N28:N29,N31:N32,N38:N39)</f>
        <v>0</v>
      </c>
      <c r="AA16" s="3">
        <f>SUM(O16:O17,O19:O20,O22:O23,O25:O26,O28:O29,O31:O32,O38:O39)</f>
        <v>0</v>
      </c>
    </row>
    <row r="17" spans="1:27" s="11" customFormat="1" ht="15.3" customHeight="1" x14ac:dyDescent="0.25">
      <c r="A17" s="72"/>
      <c r="B17" s="74"/>
      <c r="C17" s="69"/>
      <c r="D17" s="45" t="s">
        <v>16</v>
      </c>
      <c r="E17" s="12">
        <v>11</v>
      </c>
      <c r="F17" s="2"/>
      <c r="G17" s="54"/>
      <c r="H17" s="2"/>
      <c r="I17" s="2"/>
      <c r="J17" s="2"/>
      <c r="K17" s="2"/>
      <c r="L17" s="2"/>
      <c r="M17" s="2"/>
      <c r="N17" s="2"/>
      <c r="O17" s="2"/>
      <c r="P17" s="3"/>
      <c r="R17" s="37" t="s">
        <v>45</v>
      </c>
      <c r="S17" s="38">
        <f>+F41</f>
        <v>0</v>
      </c>
      <c r="T17" s="38">
        <f>+G41</f>
        <v>0</v>
      </c>
      <c r="U17" s="38">
        <f>+H41</f>
        <v>0</v>
      </c>
      <c r="V17" s="38">
        <f>+I41</f>
        <v>0</v>
      </c>
      <c r="W17" s="38">
        <f>+J41</f>
        <v>0</v>
      </c>
      <c r="X17" s="38">
        <f>+L41</f>
        <v>0</v>
      </c>
      <c r="Y17" s="38">
        <f>+M41</f>
        <v>0</v>
      </c>
      <c r="Z17" s="38">
        <f>+N41</f>
        <v>0</v>
      </c>
      <c r="AA17" s="38">
        <f>+O41</f>
        <v>0</v>
      </c>
    </row>
    <row r="18" spans="1:27" s="11" customFormat="1" ht="15.3" customHeight="1" x14ac:dyDescent="0.25">
      <c r="A18" s="72"/>
      <c r="B18" s="69"/>
      <c r="C18" s="87" t="s">
        <v>17</v>
      </c>
      <c r="D18" s="88"/>
      <c r="E18" s="12">
        <v>12</v>
      </c>
      <c r="F18" s="35"/>
      <c r="G18" s="31"/>
      <c r="H18" s="2"/>
      <c r="I18" s="2"/>
      <c r="J18" s="2"/>
      <c r="K18" s="2"/>
      <c r="L18" s="2"/>
      <c r="M18" s="2"/>
      <c r="N18" s="2"/>
      <c r="O18" s="2"/>
      <c r="P18" s="3"/>
      <c r="R18" s="36" t="s">
        <v>44</v>
      </c>
      <c r="S18" s="3" t="str">
        <f>IF(S15=SUM(S16,S17),"Đúng","Sai")</f>
        <v>Đúng</v>
      </c>
      <c r="T18" s="3" t="str">
        <f t="shared" ref="T18:AA18" si="0">IF(T15=SUM(T16,T17),"Đúng","Sai")</f>
        <v>Đúng</v>
      </c>
      <c r="U18" s="3" t="str">
        <f t="shared" si="0"/>
        <v>Đúng</v>
      </c>
      <c r="V18" s="3" t="str">
        <f t="shared" si="0"/>
        <v>Đúng</v>
      </c>
      <c r="W18" s="3" t="str">
        <f t="shared" si="0"/>
        <v>Đúng</v>
      </c>
      <c r="X18" s="3" t="str">
        <f t="shared" si="0"/>
        <v>Đúng</v>
      </c>
      <c r="Y18" s="3" t="str">
        <f t="shared" si="0"/>
        <v>Đúng</v>
      </c>
      <c r="Z18" s="3" t="str">
        <f t="shared" si="0"/>
        <v>Đúng</v>
      </c>
      <c r="AA18" s="3" t="str">
        <f t="shared" si="0"/>
        <v>Đúng</v>
      </c>
    </row>
    <row r="19" spans="1:27" s="11" customFormat="1" ht="15" customHeight="1" x14ac:dyDescent="0.25">
      <c r="A19" s="72"/>
      <c r="B19" s="68" t="s">
        <v>18</v>
      </c>
      <c r="C19" s="68" t="s">
        <v>14</v>
      </c>
      <c r="D19" s="9" t="s">
        <v>15</v>
      </c>
      <c r="E19" s="12">
        <v>13</v>
      </c>
      <c r="F19" s="35"/>
      <c r="G19" s="54"/>
      <c r="H19" s="2"/>
      <c r="I19" s="2"/>
      <c r="J19" s="2"/>
      <c r="K19" s="2"/>
      <c r="L19" s="2"/>
      <c r="M19" s="2"/>
      <c r="N19" s="2"/>
      <c r="O19" s="2"/>
      <c r="P19" s="3"/>
    </row>
    <row r="20" spans="1:27" s="11" customFormat="1" ht="15.3" customHeight="1" x14ac:dyDescent="0.25">
      <c r="A20" s="72"/>
      <c r="B20" s="74"/>
      <c r="C20" s="69"/>
      <c r="D20" s="9" t="s">
        <v>16</v>
      </c>
      <c r="E20" s="12">
        <v>14</v>
      </c>
      <c r="F20" s="35"/>
      <c r="G20" s="54"/>
      <c r="H20" s="2"/>
      <c r="I20" s="2"/>
      <c r="J20" s="2"/>
      <c r="K20" s="2"/>
      <c r="L20" s="2"/>
      <c r="M20" s="2"/>
      <c r="N20" s="2"/>
      <c r="O20" s="2"/>
      <c r="P20" s="3"/>
    </row>
    <row r="21" spans="1:27" s="11" customFormat="1" ht="15.3" customHeight="1" x14ac:dyDescent="0.25">
      <c r="A21" s="72"/>
      <c r="B21" s="69"/>
      <c r="C21" s="85" t="s">
        <v>17</v>
      </c>
      <c r="D21" s="86"/>
      <c r="E21" s="12">
        <v>15</v>
      </c>
      <c r="F21" s="35"/>
      <c r="G21" s="31"/>
      <c r="H21" s="2"/>
      <c r="I21" s="2"/>
      <c r="J21" s="2"/>
      <c r="K21" s="2"/>
      <c r="L21" s="2"/>
      <c r="M21" s="2"/>
      <c r="N21" s="2"/>
      <c r="O21" s="2"/>
      <c r="P21" s="3"/>
    </row>
    <row r="22" spans="1:27" s="11" customFormat="1" ht="15" customHeight="1" x14ac:dyDescent="0.25">
      <c r="A22" s="72"/>
      <c r="B22" s="68" t="s">
        <v>19</v>
      </c>
      <c r="C22" s="68" t="s">
        <v>14</v>
      </c>
      <c r="D22" s="9" t="s">
        <v>15</v>
      </c>
      <c r="E22" s="12">
        <v>16</v>
      </c>
      <c r="F22" s="35"/>
      <c r="G22" s="31"/>
      <c r="H22" s="2"/>
      <c r="I22" s="2"/>
      <c r="J22" s="2"/>
      <c r="K22" s="2"/>
      <c r="L22" s="2"/>
      <c r="M22" s="2"/>
      <c r="N22" s="2"/>
      <c r="O22" s="2"/>
      <c r="P22" s="3"/>
    </row>
    <row r="23" spans="1:27" s="11" customFormat="1" ht="15.3" customHeight="1" x14ac:dyDescent="0.25">
      <c r="A23" s="72"/>
      <c r="B23" s="74"/>
      <c r="C23" s="69"/>
      <c r="D23" s="9" t="s">
        <v>16</v>
      </c>
      <c r="E23" s="12">
        <v>17</v>
      </c>
      <c r="F23" s="35"/>
      <c r="G23" s="31"/>
      <c r="H23" s="2"/>
      <c r="I23" s="2"/>
      <c r="J23" s="2"/>
      <c r="K23" s="2"/>
      <c r="L23" s="2"/>
      <c r="M23" s="2"/>
      <c r="N23" s="2"/>
      <c r="O23" s="2"/>
      <c r="P23" s="3"/>
    </row>
    <row r="24" spans="1:27" s="11" customFormat="1" ht="15.3" customHeight="1" x14ac:dyDescent="0.2">
      <c r="A24" s="72"/>
      <c r="B24" s="69"/>
      <c r="C24" s="85" t="s">
        <v>17</v>
      </c>
      <c r="D24" s="86"/>
      <c r="E24" s="12">
        <v>18</v>
      </c>
      <c r="F24" s="35"/>
      <c r="G24" s="31"/>
      <c r="H24" s="2"/>
      <c r="I24" s="2"/>
      <c r="J24" s="2"/>
      <c r="K24" s="2"/>
      <c r="L24" s="2"/>
      <c r="M24" s="2"/>
      <c r="N24" s="2"/>
      <c r="O24" s="2"/>
      <c r="P24" s="3"/>
      <c r="Q24" s="34"/>
    </row>
    <row r="25" spans="1:27" s="11" customFormat="1" ht="15.3" customHeight="1" x14ac:dyDescent="0.2">
      <c r="A25" s="72"/>
      <c r="B25" s="68" t="s">
        <v>20</v>
      </c>
      <c r="C25" s="68" t="s">
        <v>14</v>
      </c>
      <c r="D25" s="9" t="s">
        <v>15</v>
      </c>
      <c r="E25" s="12">
        <v>19</v>
      </c>
      <c r="F25" s="35"/>
      <c r="G25" s="31"/>
      <c r="H25" s="2"/>
      <c r="I25" s="2"/>
      <c r="J25" s="2"/>
      <c r="K25" s="2"/>
      <c r="L25" s="2"/>
      <c r="M25" s="2"/>
      <c r="N25" s="2"/>
      <c r="O25" s="2"/>
      <c r="P25" s="3"/>
      <c r="Q25" s="8"/>
    </row>
    <row r="26" spans="1:27" s="11" customFormat="1" ht="15.3" customHeight="1" x14ac:dyDescent="0.2">
      <c r="A26" s="72"/>
      <c r="B26" s="74"/>
      <c r="C26" s="69"/>
      <c r="D26" s="9" t="s">
        <v>16</v>
      </c>
      <c r="E26" s="12">
        <v>20</v>
      </c>
      <c r="F26" s="35"/>
      <c r="G26" s="31"/>
      <c r="H26" s="2"/>
      <c r="I26" s="2"/>
      <c r="J26" s="2"/>
      <c r="K26" s="2"/>
      <c r="L26" s="2"/>
      <c r="M26" s="2"/>
      <c r="N26" s="2"/>
      <c r="O26" s="2"/>
      <c r="P26" s="3"/>
      <c r="Q26" s="8"/>
    </row>
    <row r="27" spans="1:27" s="11" customFormat="1" ht="15.3" customHeight="1" x14ac:dyDescent="0.2">
      <c r="A27" s="72"/>
      <c r="B27" s="69"/>
      <c r="C27" s="85" t="s">
        <v>17</v>
      </c>
      <c r="D27" s="86"/>
      <c r="E27" s="12">
        <v>21</v>
      </c>
      <c r="F27" s="35"/>
      <c r="G27" s="31"/>
      <c r="H27" s="2"/>
      <c r="I27" s="2"/>
      <c r="J27" s="2"/>
      <c r="K27" s="2"/>
      <c r="L27" s="2"/>
      <c r="M27" s="2"/>
      <c r="N27" s="2"/>
      <c r="O27" s="2"/>
      <c r="P27" s="3"/>
      <c r="Q27" s="8"/>
    </row>
    <row r="28" spans="1:27" s="11" customFormat="1" ht="15" customHeight="1" x14ac:dyDescent="0.2">
      <c r="A28" s="72"/>
      <c r="B28" s="68" t="s">
        <v>21</v>
      </c>
      <c r="C28" s="68" t="s">
        <v>14</v>
      </c>
      <c r="D28" s="9" t="s">
        <v>15</v>
      </c>
      <c r="E28" s="12">
        <v>22</v>
      </c>
      <c r="F28" s="35"/>
      <c r="G28" s="31"/>
      <c r="H28" s="2"/>
      <c r="I28" s="2"/>
      <c r="J28" s="2"/>
      <c r="K28" s="2"/>
      <c r="L28" s="2"/>
      <c r="M28" s="2"/>
      <c r="N28" s="2"/>
      <c r="O28" s="2"/>
      <c r="P28" s="3"/>
      <c r="Q28" s="8"/>
    </row>
    <row r="29" spans="1:27" s="11" customFormat="1" ht="15.3" customHeight="1" x14ac:dyDescent="0.2">
      <c r="A29" s="72"/>
      <c r="B29" s="74"/>
      <c r="C29" s="69"/>
      <c r="D29" s="9" t="s">
        <v>16</v>
      </c>
      <c r="E29" s="12">
        <v>23</v>
      </c>
      <c r="F29" s="35"/>
      <c r="G29" s="31"/>
      <c r="H29" s="2"/>
      <c r="I29" s="2"/>
      <c r="J29" s="2"/>
      <c r="K29" s="2"/>
      <c r="L29" s="2"/>
      <c r="M29" s="2"/>
      <c r="N29" s="2"/>
      <c r="O29" s="2"/>
      <c r="P29" s="3"/>
      <c r="Q29" s="8"/>
    </row>
    <row r="30" spans="1:27" s="11" customFormat="1" ht="15.3" customHeight="1" x14ac:dyDescent="0.2">
      <c r="A30" s="72"/>
      <c r="B30" s="69"/>
      <c r="C30" s="85" t="s">
        <v>17</v>
      </c>
      <c r="D30" s="86"/>
      <c r="E30" s="12">
        <v>24</v>
      </c>
      <c r="F30" s="35"/>
      <c r="G30" s="31"/>
      <c r="H30" s="2"/>
      <c r="I30" s="2"/>
      <c r="J30" s="2"/>
      <c r="K30" s="2"/>
      <c r="L30" s="2"/>
      <c r="M30" s="2"/>
      <c r="N30" s="2"/>
      <c r="O30" s="2"/>
      <c r="P30" s="3"/>
      <c r="Q30" s="8"/>
    </row>
    <row r="31" spans="1:27" s="11" customFormat="1" ht="15" customHeight="1" x14ac:dyDescent="0.2">
      <c r="A31" s="72"/>
      <c r="B31" s="77" t="s">
        <v>37</v>
      </c>
      <c r="C31" s="68" t="s">
        <v>14</v>
      </c>
      <c r="D31" s="9" t="s">
        <v>15</v>
      </c>
      <c r="E31" s="12">
        <v>25</v>
      </c>
      <c r="F31" s="35"/>
      <c r="G31" s="31"/>
      <c r="H31" s="2"/>
      <c r="I31" s="2"/>
      <c r="J31" s="2"/>
      <c r="K31" s="2"/>
      <c r="L31" s="2"/>
      <c r="M31" s="2"/>
      <c r="N31" s="2"/>
      <c r="O31" s="2"/>
      <c r="P31" s="3"/>
      <c r="Q31" s="39"/>
    </row>
    <row r="32" spans="1:27" s="11" customFormat="1" ht="15.3" customHeight="1" x14ac:dyDescent="0.2">
      <c r="A32" s="72"/>
      <c r="B32" s="78"/>
      <c r="C32" s="69"/>
      <c r="D32" s="9" t="s">
        <v>16</v>
      </c>
      <c r="E32" s="12">
        <v>26</v>
      </c>
      <c r="F32" s="35"/>
      <c r="G32" s="31"/>
      <c r="H32" s="2"/>
      <c r="I32" s="2"/>
      <c r="J32" s="2"/>
      <c r="K32" s="2"/>
      <c r="L32" s="2"/>
      <c r="M32" s="2"/>
      <c r="N32" s="2"/>
      <c r="O32" s="2"/>
      <c r="P32" s="3"/>
      <c r="Q32" s="34"/>
    </row>
    <row r="33" spans="1:17" s="11" customFormat="1" ht="15.3" customHeight="1" x14ac:dyDescent="0.25">
      <c r="A33" s="72"/>
      <c r="B33" s="78"/>
      <c r="C33" s="87" t="s">
        <v>17</v>
      </c>
      <c r="D33" s="88"/>
      <c r="E33" s="12">
        <v>27</v>
      </c>
      <c r="F33" s="35"/>
      <c r="G33" s="31"/>
      <c r="H33" s="2"/>
      <c r="I33" s="2"/>
      <c r="J33" s="2"/>
      <c r="K33" s="2"/>
      <c r="L33" s="2"/>
      <c r="M33" s="2"/>
      <c r="N33" s="2"/>
      <c r="O33" s="2"/>
      <c r="P33" s="3"/>
      <c r="Q33" s="40"/>
    </row>
    <row r="34" spans="1:17" s="11" customFormat="1" ht="15" customHeight="1" x14ac:dyDescent="0.2">
      <c r="A34" s="73"/>
      <c r="B34" s="79"/>
      <c r="C34" s="75" t="s">
        <v>40</v>
      </c>
      <c r="D34" s="76"/>
      <c r="E34" s="12">
        <v>28</v>
      </c>
      <c r="F34" s="35"/>
      <c r="G34" s="31"/>
      <c r="H34" s="2"/>
      <c r="I34" s="2"/>
      <c r="J34" s="2"/>
      <c r="K34" s="2"/>
      <c r="L34" s="2"/>
      <c r="M34" s="2"/>
      <c r="N34" s="2"/>
      <c r="O34" s="2"/>
      <c r="P34" s="3"/>
      <c r="Q34" s="19"/>
    </row>
    <row r="35" spans="1:17" s="11" customFormat="1" ht="15.75" customHeight="1" x14ac:dyDescent="0.2">
      <c r="A35" s="62" t="s">
        <v>38</v>
      </c>
      <c r="B35" s="63"/>
      <c r="C35" s="68" t="s">
        <v>22</v>
      </c>
      <c r="D35" s="13" t="s">
        <v>15</v>
      </c>
      <c r="E35" s="12">
        <v>29</v>
      </c>
      <c r="F35" s="35"/>
      <c r="G35" s="31"/>
      <c r="H35" s="2"/>
      <c r="I35" s="2"/>
      <c r="J35" s="2"/>
      <c r="K35" s="2"/>
      <c r="L35" s="2"/>
      <c r="M35" s="2"/>
      <c r="N35" s="2"/>
      <c r="O35" s="2"/>
      <c r="P35" s="3"/>
      <c r="Q35" s="8"/>
    </row>
    <row r="36" spans="1:17" s="11" customFormat="1" ht="15.3" customHeight="1" x14ac:dyDescent="0.2">
      <c r="A36" s="64"/>
      <c r="B36" s="65"/>
      <c r="C36" s="69"/>
      <c r="D36" s="14" t="s">
        <v>16</v>
      </c>
      <c r="E36" s="12">
        <v>30</v>
      </c>
      <c r="F36" s="35"/>
      <c r="G36" s="31"/>
      <c r="H36" s="2"/>
      <c r="I36" s="2"/>
      <c r="J36" s="2"/>
      <c r="K36" s="2"/>
      <c r="L36" s="2"/>
      <c r="M36" s="2"/>
      <c r="N36" s="2"/>
      <c r="O36" s="2"/>
      <c r="P36" s="3"/>
      <c r="Q36" s="8"/>
    </row>
    <row r="37" spans="1:17" s="11" customFormat="1" ht="15" customHeight="1" x14ac:dyDescent="0.25">
      <c r="A37" s="66"/>
      <c r="B37" s="67"/>
      <c r="C37" s="70" t="s">
        <v>17</v>
      </c>
      <c r="D37" s="71"/>
      <c r="E37" s="12">
        <v>31</v>
      </c>
      <c r="F37" s="35"/>
      <c r="G37" s="31"/>
      <c r="H37" s="2"/>
      <c r="I37" s="2"/>
      <c r="J37" s="2"/>
      <c r="K37" s="2"/>
      <c r="L37" s="2"/>
      <c r="M37" s="2"/>
      <c r="N37" s="2"/>
      <c r="O37" s="2"/>
      <c r="P37" s="3"/>
      <c r="Q37" s="40"/>
    </row>
    <row r="38" spans="1:17" s="11" customFormat="1" ht="15" customHeight="1" x14ac:dyDescent="0.2">
      <c r="A38" s="62" t="s">
        <v>39</v>
      </c>
      <c r="B38" s="63"/>
      <c r="C38" s="68" t="s">
        <v>22</v>
      </c>
      <c r="D38" s="13" t="s">
        <v>15</v>
      </c>
      <c r="E38" s="12">
        <v>32</v>
      </c>
      <c r="F38" s="35"/>
      <c r="G38" s="31"/>
      <c r="H38" s="2"/>
      <c r="I38" s="2"/>
      <c r="J38" s="2"/>
      <c r="K38" s="2"/>
      <c r="L38" s="2"/>
      <c r="M38" s="2"/>
      <c r="N38" s="2"/>
      <c r="O38" s="2"/>
      <c r="P38" s="3"/>
      <c r="Q38" s="39"/>
    </row>
    <row r="39" spans="1:17" s="11" customFormat="1" ht="15.3" customHeight="1" x14ac:dyDescent="0.2">
      <c r="A39" s="64"/>
      <c r="B39" s="65"/>
      <c r="C39" s="69"/>
      <c r="D39" s="14" t="s">
        <v>16</v>
      </c>
      <c r="E39" s="12">
        <v>33</v>
      </c>
      <c r="F39" s="35"/>
      <c r="G39" s="31"/>
      <c r="H39" s="2"/>
      <c r="I39" s="2"/>
      <c r="J39" s="2"/>
      <c r="K39" s="2"/>
      <c r="L39" s="2"/>
      <c r="M39" s="2"/>
      <c r="N39" s="2"/>
      <c r="O39" s="2"/>
      <c r="P39" s="3"/>
      <c r="Q39" s="34"/>
    </row>
    <row r="40" spans="1:17" s="11" customFormat="1" ht="15" customHeight="1" x14ac:dyDescent="0.25">
      <c r="A40" s="96"/>
      <c r="B40" s="97"/>
      <c r="C40" s="92" t="s">
        <v>17</v>
      </c>
      <c r="D40" s="93"/>
      <c r="E40" s="15">
        <v>34</v>
      </c>
      <c r="F40" s="35"/>
      <c r="G40" s="31"/>
      <c r="H40" s="2"/>
      <c r="I40" s="2"/>
      <c r="J40" s="2"/>
      <c r="K40" s="2"/>
      <c r="L40" s="2"/>
      <c r="M40" s="2"/>
      <c r="N40" s="2"/>
      <c r="O40" s="2"/>
      <c r="P40" s="3"/>
      <c r="Q40" s="40"/>
    </row>
    <row r="41" spans="1:17" s="11" customFormat="1" ht="15" customHeight="1" x14ac:dyDescent="0.25">
      <c r="A41" s="57" t="s">
        <v>23</v>
      </c>
      <c r="B41" s="58"/>
      <c r="C41" s="58"/>
      <c r="D41" s="59"/>
      <c r="E41" s="31">
        <v>35</v>
      </c>
      <c r="F41" s="35"/>
      <c r="G41" s="31"/>
      <c r="H41" s="2"/>
      <c r="I41" s="2"/>
      <c r="J41" s="2"/>
      <c r="K41" s="2"/>
      <c r="L41" s="2"/>
      <c r="M41" s="2"/>
      <c r="N41" s="2"/>
      <c r="O41" s="2"/>
      <c r="P41" s="3"/>
      <c r="Q41" s="46"/>
    </row>
    <row r="42" spans="1:17" s="11" customFormat="1" ht="14.85" customHeight="1" x14ac:dyDescent="0.25">
      <c r="A42" s="23"/>
      <c r="B42" s="23"/>
      <c r="C42" s="23"/>
      <c r="D42" s="23"/>
      <c r="E42" s="24"/>
      <c r="F42" s="24"/>
      <c r="G42" s="25"/>
      <c r="H42" s="25"/>
      <c r="I42" s="25"/>
      <c r="J42" s="25"/>
      <c r="K42" s="25"/>
      <c r="L42" s="25"/>
      <c r="M42" s="25"/>
      <c r="N42" s="25"/>
      <c r="O42" s="25"/>
      <c r="P42" s="26"/>
    </row>
    <row r="43" spans="1:17" s="11" customFormat="1" ht="20.399999999999999" x14ac:dyDescent="0.25">
      <c r="A43" s="91" t="s">
        <v>24</v>
      </c>
      <c r="B43" s="91"/>
      <c r="C43" s="91"/>
      <c r="D43" s="91"/>
      <c r="E43" s="91"/>
      <c r="F43" s="91"/>
      <c r="G43" s="56" t="s">
        <v>25</v>
      </c>
      <c r="H43" s="30" t="s">
        <v>34</v>
      </c>
      <c r="M43" s="16"/>
      <c r="N43" s="16" t="s">
        <v>50</v>
      </c>
      <c r="P43" s="16"/>
    </row>
    <row r="44" spans="1:17" s="11" customFormat="1" ht="14.25" customHeight="1" x14ac:dyDescent="0.25">
      <c r="A44" s="90" t="s">
        <v>26</v>
      </c>
      <c r="B44" s="90"/>
      <c r="C44" s="90"/>
      <c r="D44" s="90"/>
      <c r="E44" s="90"/>
      <c r="F44" s="90"/>
      <c r="G44" s="51"/>
      <c r="H44" s="33"/>
      <c r="J44" s="17" t="s">
        <v>35</v>
      </c>
      <c r="M44" s="17"/>
      <c r="N44" s="17" t="s">
        <v>47</v>
      </c>
      <c r="P44" s="17"/>
    </row>
    <row r="45" spans="1:17" s="11" customFormat="1" ht="14.85" customHeight="1" x14ac:dyDescent="0.25">
      <c r="A45" s="90" t="s">
        <v>27</v>
      </c>
      <c r="B45" s="90"/>
      <c r="C45" s="90"/>
      <c r="D45" s="90"/>
      <c r="E45" s="90"/>
      <c r="F45" s="90"/>
      <c r="G45" s="52"/>
      <c r="H45" s="33"/>
      <c r="J45" s="16" t="s">
        <v>36</v>
      </c>
      <c r="M45" s="17"/>
      <c r="N45" s="17" t="s">
        <v>48</v>
      </c>
      <c r="P45" s="17"/>
    </row>
    <row r="46" spans="1:17" s="11" customFormat="1" ht="14.85" customHeight="1" x14ac:dyDescent="0.25">
      <c r="A46" s="90" t="s">
        <v>28</v>
      </c>
      <c r="B46" s="90"/>
      <c r="C46" s="90"/>
      <c r="D46" s="90"/>
      <c r="E46" s="90"/>
      <c r="F46" s="90"/>
      <c r="G46" s="51"/>
      <c r="H46" s="33"/>
      <c r="M46" s="16"/>
      <c r="N46" s="16" t="s">
        <v>29</v>
      </c>
      <c r="P46" s="16"/>
    </row>
    <row r="47" spans="1:17" s="11" customFormat="1" ht="14.85" customHeight="1" x14ac:dyDescent="0.25">
      <c r="A47" s="90" t="s">
        <v>30</v>
      </c>
      <c r="B47" s="90"/>
      <c r="C47" s="90"/>
      <c r="D47" s="90"/>
      <c r="E47" s="90"/>
      <c r="F47" s="90"/>
      <c r="G47" s="3"/>
      <c r="H47" s="33"/>
      <c r="J47" s="5"/>
      <c r="K47" s="5"/>
    </row>
    <row r="48" spans="1:17" s="11" customFormat="1" ht="14.85" customHeight="1" x14ac:dyDescent="0.25">
      <c r="A48" s="89" t="s">
        <v>31</v>
      </c>
      <c r="B48" s="89"/>
      <c r="C48" s="89"/>
      <c r="D48" s="89"/>
      <c r="E48" s="89"/>
      <c r="F48" s="89"/>
      <c r="G48" s="53"/>
      <c r="H48" s="33"/>
      <c r="J48" s="41"/>
      <c r="K48" s="4"/>
    </row>
    <row r="49" spans="1:24" ht="14.55" customHeight="1" x14ac:dyDescent="0.2">
      <c r="A49" s="8"/>
      <c r="B49" s="8"/>
      <c r="C49" s="8"/>
      <c r="D49" s="8"/>
      <c r="E49" s="18"/>
      <c r="F49" s="1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4.55" customHeight="1" x14ac:dyDescent="0.2">
      <c r="A50" s="8"/>
      <c r="B50" s="8"/>
      <c r="C50" s="8"/>
      <c r="D50" s="19"/>
      <c r="E50" s="20"/>
      <c r="F50" s="20"/>
      <c r="G50" s="1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4.55" customHeight="1" x14ac:dyDescent="0.2">
      <c r="A51" s="8"/>
      <c r="B51" s="8"/>
      <c r="C51" s="8"/>
      <c r="D51" s="8"/>
      <c r="E51" s="18"/>
      <c r="F51" s="18"/>
      <c r="G51" s="8"/>
      <c r="H51" s="8"/>
      <c r="I51" s="8"/>
      <c r="J51" s="8"/>
      <c r="K51" s="8"/>
      <c r="L51" s="8"/>
      <c r="M51" s="8"/>
      <c r="N51" s="8"/>
      <c r="O51" s="8"/>
      <c r="P51" s="8"/>
      <c r="Q51" s="42"/>
      <c r="R51" s="8"/>
      <c r="S51" s="8"/>
      <c r="T51" s="8"/>
      <c r="U51" s="8"/>
      <c r="V51" s="8"/>
      <c r="W51" s="8"/>
      <c r="X51" s="8"/>
    </row>
    <row r="52" spans="1:24" ht="14.55" customHeight="1" x14ac:dyDescent="0.2">
      <c r="A52" s="8"/>
      <c r="B52" s="8"/>
      <c r="C52" s="8"/>
      <c r="D52" s="25"/>
      <c r="E52" s="18"/>
      <c r="F52" s="1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43"/>
      <c r="S52" s="8"/>
      <c r="T52" s="8"/>
      <c r="U52" s="8"/>
      <c r="V52" s="8"/>
      <c r="W52" s="8"/>
      <c r="X52" s="8"/>
    </row>
    <row r="53" spans="1:24" ht="14.55" customHeight="1" x14ac:dyDescent="0.2">
      <c r="A53" s="8"/>
      <c r="B53" s="8"/>
      <c r="C53" s="8"/>
      <c r="D53" s="8"/>
      <c r="E53" s="18"/>
      <c r="F53" s="1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43"/>
      <c r="S53" s="8"/>
      <c r="T53" s="8"/>
      <c r="U53" s="8"/>
      <c r="V53" s="8"/>
      <c r="W53" s="8"/>
      <c r="X53" s="8"/>
    </row>
    <row r="54" spans="1:24" ht="14.55" customHeight="1" x14ac:dyDescent="0.2">
      <c r="A54" s="8"/>
      <c r="B54" s="8"/>
      <c r="C54" s="8"/>
      <c r="D54" s="8"/>
      <c r="E54" s="18"/>
      <c r="F54" s="1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43"/>
      <c r="S54" s="8"/>
      <c r="T54" s="8"/>
      <c r="U54" s="8"/>
      <c r="V54" s="8"/>
      <c r="W54" s="8"/>
      <c r="X54" s="8"/>
    </row>
    <row r="55" spans="1:24" ht="14.55" customHeight="1" x14ac:dyDescent="0.2">
      <c r="A55" s="8"/>
      <c r="B55" s="8"/>
      <c r="C55" s="8"/>
      <c r="D55" s="8"/>
      <c r="E55" s="18"/>
      <c r="F55" s="1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43"/>
      <c r="S55" s="8"/>
      <c r="T55" s="8"/>
      <c r="U55" s="8"/>
      <c r="V55" s="8"/>
      <c r="W55" s="8"/>
      <c r="X55" s="8"/>
    </row>
    <row r="56" spans="1:24" ht="14.55" customHeight="1" x14ac:dyDescent="0.2">
      <c r="A56" s="8"/>
      <c r="B56" s="8"/>
      <c r="C56" s="8"/>
      <c r="D56" s="8"/>
      <c r="E56" s="18"/>
      <c r="F56" s="1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43"/>
      <c r="S56" s="8"/>
      <c r="T56" s="8"/>
      <c r="U56" s="8"/>
      <c r="V56" s="8"/>
      <c r="W56" s="8"/>
      <c r="X56" s="8"/>
    </row>
    <row r="57" spans="1:24" ht="14.55" customHeight="1" x14ac:dyDescent="0.2">
      <c r="R57" s="44"/>
    </row>
    <row r="58" spans="1:24" ht="14.55" customHeight="1" x14ac:dyDescent="0.2">
      <c r="R58" s="44"/>
    </row>
    <row r="59" spans="1:24" ht="14.55" customHeight="1" x14ac:dyDescent="0.2">
      <c r="R59" s="44"/>
    </row>
  </sheetData>
  <mergeCells count="50">
    <mergeCell ref="C38:C39"/>
    <mergeCell ref="C40:D40"/>
    <mergeCell ref="A9:D9"/>
    <mergeCell ref="A10:D10"/>
    <mergeCell ref="D3:F3"/>
    <mergeCell ref="D4:F4"/>
    <mergeCell ref="C14:D14"/>
    <mergeCell ref="A15:D15"/>
    <mergeCell ref="C18:D18"/>
    <mergeCell ref="C21:D21"/>
    <mergeCell ref="C24:D24"/>
    <mergeCell ref="A38:B40"/>
    <mergeCell ref="A48:F48"/>
    <mergeCell ref="A45:F45"/>
    <mergeCell ref="A46:F46"/>
    <mergeCell ref="A47:F47"/>
    <mergeCell ref="A43:F43"/>
    <mergeCell ref="A44:F44"/>
    <mergeCell ref="G2:P3"/>
    <mergeCell ref="G4:P4"/>
    <mergeCell ref="D2:F2"/>
    <mergeCell ref="C30:D30"/>
    <mergeCell ref="C33:D33"/>
    <mergeCell ref="C16:C17"/>
    <mergeCell ref="C19:C20"/>
    <mergeCell ref="C22:C23"/>
    <mergeCell ref="C25:C26"/>
    <mergeCell ref="C28:C29"/>
    <mergeCell ref="C31:C32"/>
    <mergeCell ref="C27:D27"/>
    <mergeCell ref="A11:D11"/>
    <mergeCell ref="A12:B14"/>
    <mergeCell ref="C12:D12"/>
    <mergeCell ref="C13:D13"/>
    <mergeCell ref="A41:D41"/>
    <mergeCell ref="P7:P8"/>
    <mergeCell ref="A35:B37"/>
    <mergeCell ref="C35:C36"/>
    <mergeCell ref="C37:D37"/>
    <mergeCell ref="A16:A34"/>
    <mergeCell ref="B16:B18"/>
    <mergeCell ref="B19:B21"/>
    <mergeCell ref="B22:B24"/>
    <mergeCell ref="B25:B27"/>
    <mergeCell ref="B28:B30"/>
    <mergeCell ref="C34:D34"/>
    <mergeCell ref="B31:B34"/>
    <mergeCell ref="K7:K8"/>
    <mergeCell ref="A7:D7"/>
    <mergeCell ref="A8:D8"/>
  </mergeCells>
  <conditionalFormatting sqref="S18:AA18">
    <cfRule type="cellIs" dxfId="1" priority="1" stopIfTrue="1" operator="equal">
      <formula>"Sai"</formula>
    </cfRule>
    <cfRule type="cellIs" dxfId="0" priority="2" stopIfTrue="1" operator="equal">
      <formula>"Đúng"</formula>
    </cfRule>
  </conditionalFormatting>
  <printOptions horizontalCentered="1"/>
  <pageMargins left="9.8425196850393706E-2" right="9.8425196850393706E-2" top="0.59055118110236227" bottom="0" header="0.31496062992125984" footer="0"/>
  <pageSetup paperSize="9" scale="8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Thống kê trẻ 6 đến 14 tuổi</vt:lpstr>
      <vt:lpstr>'Thống kê trẻ 6 đến 14 tuổi'!Print_Area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huonggiang huong</cp:lastModifiedBy>
  <cp:lastPrinted>2022-11-22T10:05:04Z</cp:lastPrinted>
  <dcterms:created xsi:type="dcterms:W3CDTF">2022-11-22T08:46:07Z</dcterms:created>
  <dcterms:modified xsi:type="dcterms:W3CDTF">2025-09-13T11:22:28Z</dcterms:modified>
</cp:coreProperties>
</file>